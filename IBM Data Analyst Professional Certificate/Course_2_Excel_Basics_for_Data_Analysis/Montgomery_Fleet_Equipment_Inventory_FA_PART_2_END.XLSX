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nul Islam Shawon\Downloads\"/>
    </mc:Choice>
  </mc:AlternateContent>
  <xr:revisionPtr revIDLastSave="0" documentId="13_ncr:1_{711D2F58-4D71-4C8D-AEA4-AA440CB39BA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ontgomery_Fleet_Equipment_Inve" sheetId="1" r:id="rId1"/>
    <sheet name="pviot2" sheetId="2" r:id="rId2"/>
    <sheet name="pivot3" sheetId="3" r:id="rId3"/>
  </sheets>
  <definedNames>
    <definedName name="_xlnm._FilterDatabase" localSheetId="0" hidden="1">Montgomery_Fleet_Equipment_Inve!$A$1:$C$50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G1" i="1"/>
  <c r="C1048576" i="1"/>
</calcChain>
</file>

<file path=xl/sharedStrings.xml><?xml version="1.0" encoding="utf-8"?>
<sst xmlns="http://schemas.openxmlformats.org/spreadsheetml/2006/main" count="150" uniqueCount="37">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</sst>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Chen" refreshedDate="44351.835489583333" createdVersion="7" refreshedVersion="7" minRefreshableVersion="3" recordCount="49" xr:uid="{0A21FA6E-3245-493D-8711-FFD73A14DD7A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5F295-FCD4-4C81-8739-99EF0C16185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4FF5B-D892-4CA4-94EF-36756B01C30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32DEC-9B1F-49D3-859F-60CA5A7C69E2}" name="Table1" displayName="Table1" ref="A1:C50" totalsRowShown="0">
  <autoFilter ref="A1:C50" xr:uid="{17032DEC-9B1F-49D3-859F-60CA5A7C69E2}"/>
  <tableColumns count="3">
    <tableColumn id="1" xr3:uid="{CEB328AE-D849-4F43-A5D3-340B8C41CB1A}" name="Department"/>
    <tableColumn id="2" xr3:uid="{3ADEFF09-2BC9-4FB5-985F-53ADC573D7B5}" name="Equipment Class"/>
    <tableColumn id="3" xr3:uid="{7A09EACE-36BF-436D-AEE1-4263FF2999B1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zoomScaleNormal="100" workbookViewId="0">
      <selection activeCell="G5" sqref="G5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8.5546875" customWidth="1"/>
  </cols>
  <sheetData>
    <row r="1" spans="1:7" x14ac:dyDescent="0.3">
      <c r="A1" t="s">
        <v>0</v>
      </c>
      <c r="B1" t="s">
        <v>1</v>
      </c>
      <c r="C1" t="s">
        <v>2</v>
      </c>
      <c r="F1" t="s">
        <v>29</v>
      </c>
      <c r="G1">
        <f>SUM(Table1[Equipment Count])</f>
        <v>1582</v>
      </c>
    </row>
    <row r="2" spans="1:7" x14ac:dyDescent="0.3">
      <c r="A2" t="s">
        <v>5</v>
      </c>
      <c r="B2" t="s">
        <v>6</v>
      </c>
      <c r="C2">
        <v>21</v>
      </c>
      <c r="F2" t="s">
        <v>30</v>
      </c>
      <c r="G2">
        <f>AVERAGE(Table1[Equipment Count])</f>
        <v>32.285714285714285</v>
      </c>
    </row>
    <row r="3" spans="1:7" x14ac:dyDescent="0.3">
      <c r="A3" t="s">
        <v>5</v>
      </c>
      <c r="B3" t="s">
        <v>7</v>
      </c>
      <c r="C3">
        <v>1</v>
      </c>
      <c r="F3" t="s">
        <v>31</v>
      </c>
      <c r="G3">
        <f>MIN(Table1[Equipment Count])</f>
        <v>1</v>
      </c>
    </row>
    <row r="4" spans="1:7" x14ac:dyDescent="0.3">
      <c r="A4" t="s">
        <v>5</v>
      </c>
      <c r="B4" t="s">
        <v>4</v>
      </c>
      <c r="C4">
        <v>23</v>
      </c>
      <c r="F4" t="s">
        <v>32</v>
      </c>
      <c r="G4">
        <f>MAX(Table1[Equipment Count])</f>
        <v>379</v>
      </c>
    </row>
    <row r="5" spans="1:7" x14ac:dyDescent="0.3">
      <c r="A5" t="s">
        <v>8</v>
      </c>
      <c r="B5" t="s">
        <v>4</v>
      </c>
      <c r="C5">
        <v>2</v>
      </c>
      <c r="F5" t="s">
        <v>33</v>
      </c>
      <c r="G5">
        <f>COUNT(Table1[Equipment Count])</f>
        <v>49</v>
      </c>
    </row>
    <row r="6" spans="1:7" x14ac:dyDescent="0.3">
      <c r="A6" t="s">
        <v>9</v>
      </c>
      <c r="B6" t="s">
        <v>6</v>
      </c>
      <c r="C6">
        <v>3</v>
      </c>
    </row>
    <row r="7" spans="1:7" x14ac:dyDescent="0.3">
      <c r="A7" t="s">
        <v>9</v>
      </c>
      <c r="B7" t="s">
        <v>10</v>
      </c>
      <c r="C7">
        <v>2</v>
      </c>
    </row>
    <row r="8" spans="1:7" x14ac:dyDescent="0.3">
      <c r="A8" t="s">
        <v>9</v>
      </c>
      <c r="B8" t="s">
        <v>11</v>
      </c>
      <c r="C8">
        <v>1</v>
      </c>
    </row>
    <row r="9" spans="1:7" x14ac:dyDescent="0.3">
      <c r="A9" t="s">
        <v>12</v>
      </c>
      <c r="B9" t="s">
        <v>10</v>
      </c>
      <c r="C9">
        <v>2</v>
      </c>
    </row>
    <row r="10" spans="1:7" x14ac:dyDescent="0.3">
      <c r="A10" t="s">
        <v>12</v>
      </c>
      <c r="B10" t="s">
        <v>13</v>
      </c>
      <c r="C10">
        <v>42</v>
      </c>
    </row>
    <row r="11" spans="1:7" x14ac:dyDescent="0.3">
      <c r="A11" t="s">
        <v>12</v>
      </c>
      <c r="B11" t="s">
        <v>7</v>
      </c>
      <c r="C11">
        <v>1</v>
      </c>
    </row>
    <row r="12" spans="1:7" x14ac:dyDescent="0.3">
      <c r="A12" t="s">
        <v>12</v>
      </c>
      <c r="B12" t="s">
        <v>4</v>
      </c>
      <c r="C12">
        <v>11</v>
      </c>
    </row>
    <row r="13" spans="1:7" x14ac:dyDescent="0.3">
      <c r="A13" t="s">
        <v>14</v>
      </c>
      <c r="B13" t="s">
        <v>7</v>
      </c>
      <c r="C13">
        <v>1</v>
      </c>
    </row>
    <row r="14" spans="1:7" x14ac:dyDescent="0.3">
      <c r="A14" t="s">
        <v>15</v>
      </c>
      <c r="B14" t="s">
        <v>16</v>
      </c>
      <c r="C14">
        <v>9</v>
      </c>
    </row>
    <row r="15" spans="1:7" x14ac:dyDescent="0.3">
      <c r="A15" t="s">
        <v>15</v>
      </c>
      <c r="B15" t="s">
        <v>7</v>
      </c>
      <c r="C15">
        <v>27</v>
      </c>
    </row>
    <row r="16" spans="1:7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1048576" spans="3:3" x14ac:dyDescent="0.3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4DC3-5C58-43A7-9625-5EC8781A4AEE}">
  <dimension ref="A3:B25"/>
  <sheetViews>
    <sheetView workbookViewId="0">
      <selection activeCell="A24" sqref="A24"/>
    </sheetView>
  </sheetViews>
  <sheetFormatPr defaultRowHeight="14.4" x14ac:dyDescent="0.3"/>
  <cols>
    <col min="1" max="1" width="31.33203125" bestFit="1" customWidth="1"/>
    <col min="2" max="2" width="23.4414062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5857-9313-4824-A9C4-5399560A70FE}">
  <dimension ref="A3:B21"/>
  <sheetViews>
    <sheetView tabSelected="1" workbookViewId="0">
      <selection activeCell="U22" sqref="U22"/>
    </sheetView>
  </sheetViews>
  <sheetFormatPr defaultRowHeight="14.4" x14ac:dyDescent="0.3"/>
  <cols>
    <col min="1" max="1" width="28.44140625" bestFit="1" customWidth="1"/>
    <col min="2" max="2" width="23.44140625" bestFit="1" customWidth="1"/>
    <col min="3" max="10" width="2" bestFit="1" customWidth="1"/>
    <col min="11" max="25" width="3" bestFit="1" customWidth="1"/>
    <col min="26" max="28" width="4" bestFit="1" customWidth="1"/>
    <col min="29" max="29" width="11.3320312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25</v>
      </c>
      <c r="B6" s="3">
        <v>1</v>
      </c>
    </row>
    <row r="7" spans="1:2" x14ac:dyDescent="0.3">
      <c r="A7" s="4" t="s">
        <v>26</v>
      </c>
      <c r="B7" s="3">
        <v>5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Montgomery_Fleet_Equipment_Inve</vt:lpstr>
      <vt:lpstr>pviot2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Moinul Islam Shawon</cp:lastModifiedBy>
  <dcterms:created xsi:type="dcterms:W3CDTF">2020-09-01T17:18:12Z</dcterms:created>
  <dcterms:modified xsi:type="dcterms:W3CDTF">2022-03-18T21:08:57Z</dcterms:modified>
</cp:coreProperties>
</file>